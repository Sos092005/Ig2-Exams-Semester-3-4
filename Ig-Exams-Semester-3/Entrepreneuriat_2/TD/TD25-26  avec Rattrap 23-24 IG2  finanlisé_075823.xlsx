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nseignement\ENEAM\Entrepreneuriat en IG2 de 23-24 et plus\25-26\"/>
    </mc:Choice>
  </mc:AlternateContent>
  <bookViews>
    <workbookView xWindow="480" yWindow="60" windowWidth="12852" windowHeight="7956" activeTab="1"/>
  </bookViews>
  <sheets>
    <sheet name="FNT et critères financiers" sheetId="1" r:id="rId1"/>
    <sheet name="Exam Rattrap IG2 A &amp; B 23-24" sheetId="3" r:id="rId2"/>
    <sheet name="fev Croisce Epargne colctée" sheetId="4" r:id="rId3"/>
  </sheets>
  <calcPr calcId="152511"/>
</workbook>
</file>

<file path=xl/calcChain.xml><?xml version="1.0" encoding="utf-8"?>
<calcChain xmlns="http://schemas.openxmlformats.org/spreadsheetml/2006/main">
  <c r="H29" i="3" l="1"/>
  <c r="G29" i="3"/>
  <c r="F29" i="3"/>
  <c r="E29" i="3"/>
  <c r="D29" i="3"/>
  <c r="H28" i="3"/>
  <c r="G28" i="3"/>
  <c r="F28" i="3"/>
  <c r="E28" i="3"/>
  <c r="D28" i="3"/>
  <c r="H23" i="3"/>
  <c r="F23" i="3"/>
  <c r="C23" i="3"/>
  <c r="C20" i="3"/>
  <c r="C21" i="3" s="1"/>
  <c r="H14" i="3"/>
  <c r="H8" i="3"/>
  <c r="G8" i="3"/>
  <c r="F8" i="3"/>
  <c r="E8" i="3"/>
  <c r="D8" i="3"/>
  <c r="H7" i="3"/>
  <c r="G7" i="3"/>
  <c r="F7" i="3"/>
  <c r="E7" i="3"/>
  <c r="D7" i="3"/>
  <c r="H6" i="3"/>
  <c r="G6" i="3"/>
  <c r="F6" i="3"/>
  <c r="E6" i="3"/>
  <c r="D6" i="3"/>
  <c r="H5" i="3"/>
  <c r="G5" i="3"/>
  <c r="F5" i="3"/>
  <c r="E5" i="3"/>
  <c r="D5" i="3"/>
  <c r="H4" i="3"/>
  <c r="G4" i="3"/>
  <c r="F4" i="3"/>
  <c r="E4" i="3"/>
  <c r="D4" i="3"/>
  <c r="G28" i="1"/>
  <c r="G29" i="1"/>
  <c r="G15" i="1"/>
  <c r="G6" i="1"/>
  <c r="F6" i="1"/>
  <c r="E6" i="1"/>
  <c r="D6" i="1"/>
  <c r="C6" i="1"/>
  <c r="G7" i="1"/>
  <c r="F7" i="1"/>
  <c r="E7" i="1"/>
  <c r="D7" i="1"/>
  <c r="C7" i="1"/>
  <c r="G5" i="1"/>
  <c r="F5" i="1"/>
  <c r="E5" i="1"/>
  <c r="D5" i="1"/>
  <c r="C5" i="1"/>
  <c r="F29" i="1"/>
  <c r="E29" i="1"/>
  <c r="D29" i="1"/>
  <c r="C29" i="1"/>
  <c r="F28" i="1"/>
  <c r="E28" i="1"/>
  <c r="D28" i="1"/>
  <c r="C28" i="1"/>
  <c r="D11" i="3" l="1"/>
  <c r="D13" i="3" s="1"/>
  <c r="D20" i="3" s="1"/>
  <c r="D21" i="3" s="1"/>
  <c r="D22" i="3" s="1"/>
  <c r="E11" i="3"/>
  <c r="E13" i="3" s="1"/>
  <c r="E20" i="3" s="1"/>
  <c r="E21" i="3" s="1"/>
  <c r="H11" i="3"/>
  <c r="H13" i="3" s="1"/>
  <c r="H20" i="3" s="1"/>
  <c r="H21" i="3" s="1"/>
  <c r="F11" i="3"/>
  <c r="F13" i="3" s="1"/>
  <c r="F20" i="3" s="1"/>
  <c r="F21" i="3" s="1"/>
  <c r="G11" i="3"/>
  <c r="G13" i="3" s="1"/>
  <c r="G20" i="3" s="1"/>
  <c r="G21" i="3" s="1"/>
  <c r="C22" i="3"/>
  <c r="E22" i="3" l="1"/>
  <c r="F22" i="3"/>
  <c r="G22" i="3" s="1"/>
  <c r="H22" i="3" s="1"/>
  <c r="J4" i="4" l="1"/>
  <c r="I4" i="4"/>
  <c r="J3" i="4"/>
  <c r="I3" i="4"/>
  <c r="H3" i="4"/>
  <c r="H4" i="4" s="1"/>
  <c r="G3" i="4"/>
  <c r="G4" i="4" s="1"/>
  <c r="F3" i="4"/>
  <c r="E3" i="4"/>
  <c r="B24" i="1" l="1"/>
  <c r="G24" i="1" l="1"/>
  <c r="E24" i="1"/>
  <c r="G8" i="1" l="1"/>
  <c r="F8" i="1"/>
  <c r="E8" i="1"/>
  <c r="D8" i="1"/>
  <c r="C8" i="1"/>
  <c r="G9" i="1" l="1"/>
  <c r="G12" i="1" s="1"/>
  <c r="F9" i="1"/>
  <c r="F12" i="1" s="1"/>
  <c r="E9" i="1"/>
  <c r="E12" i="1" s="1"/>
  <c r="D9" i="1"/>
  <c r="D12" i="1" s="1"/>
  <c r="C9" i="1"/>
  <c r="C12" i="1" s="1"/>
  <c r="B21" i="1" l="1"/>
  <c r="B22" i="1" l="1"/>
  <c r="D14" i="1" l="1"/>
  <c r="D21" i="1" s="1"/>
  <c r="E14" i="1"/>
  <c r="E21" i="1" s="1"/>
  <c r="F14" i="1"/>
  <c r="F21" i="1" s="1"/>
  <c r="C14" i="1"/>
  <c r="C21" i="1" s="1"/>
  <c r="G14" i="1"/>
  <c r="G21" i="1" s="1"/>
  <c r="E22" i="1" l="1"/>
  <c r="D22" i="1"/>
  <c r="G22" i="1"/>
  <c r="F22" i="1"/>
  <c r="B23" i="1"/>
  <c r="C22" i="1" l="1"/>
  <c r="C23" i="1" s="1"/>
  <c r="D23" i="1" s="1"/>
  <c r="E23" i="1" s="1"/>
  <c r="F23" i="1" s="1"/>
  <c r="G23" i="1" s="1"/>
</calcChain>
</file>

<file path=xl/sharedStrings.xml><?xml version="1.0" encoding="utf-8"?>
<sst xmlns="http://schemas.openxmlformats.org/spreadsheetml/2006/main" count="81" uniqueCount="49">
  <si>
    <t>Eléments</t>
  </si>
  <si>
    <t>+VRN</t>
  </si>
  <si>
    <t>+Récup. BFRE</t>
  </si>
  <si>
    <t>Invtismnt actualsé (12%)</t>
  </si>
  <si>
    <t xml:space="preserve">DR = </t>
  </si>
  <si>
    <t xml:space="preserve">              IP=</t>
  </si>
  <si>
    <t>+ Emprunt</t>
  </si>
  <si>
    <t>N°</t>
  </si>
  <si>
    <t xml:space="preserve">Achats, et Variation de Stocks  </t>
  </si>
  <si>
    <t>Dotat° aux Amortismts et aux Provisions</t>
  </si>
  <si>
    <t>+ Amortissements et Provisions</t>
  </si>
  <si>
    <t>- Remboursement d'Emprunt</t>
  </si>
  <si>
    <t>= C A F d'Expltat°</t>
  </si>
  <si>
    <t>= Flux Nets  de Trésorerie</t>
  </si>
  <si>
    <t xml:space="preserve">TRI = </t>
  </si>
  <si>
    <t>Prévisions effectuées relatives aux Données Techniques de Crédit et d'Epargne</t>
  </si>
  <si>
    <t>Données</t>
  </si>
  <si>
    <t xml:space="preserve"> Collectes d'épargne brute</t>
  </si>
  <si>
    <t>Tableau 2:</t>
  </si>
  <si>
    <r>
      <t xml:space="preserve">Chiffre d’Affaires </t>
    </r>
    <r>
      <rPr>
        <b/>
        <sz val="9"/>
        <color theme="1"/>
        <rFont val="Times New Roman"/>
        <family val="1"/>
      </rPr>
      <t>(total des produits)</t>
    </r>
  </si>
  <si>
    <t>-ΔBFRE</t>
  </si>
  <si>
    <t>-Remboursement du Fournisseur Terrain reçu</t>
  </si>
  <si>
    <t>Des fonds propres et des emprunts sont planifiés pour soutenir les opérations de crédits en complément de transformation partielle d'épargne.</t>
  </si>
  <si>
    <t>Enseignant: Docteur HOUNYO Léon</t>
  </si>
  <si>
    <t>ECUE : ENTREPRENEURIAT  ET  INNOVATION</t>
  </si>
  <si>
    <t>Projet de création d'une Institution Industrielle</t>
  </si>
  <si>
    <t>Sces exté, Charges fisc. et de Personnel</t>
  </si>
  <si>
    <t xml:space="preserve">Résultat net  </t>
  </si>
  <si>
    <t>Impôt sur le Résultat (5 ans d'exonérat°)</t>
  </si>
  <si>
    <t xml:space="preserve"> Amortissements et Provisions</t>
  </si>
  <si>
    <t>Ptes/Créan. Irrécouvr.+Cha. financières</t>
  </si>
  <si>
    <t>FNT actu. To au 31/12/2024</t>
  </si>
  <si>
    <t>FNT actu. cumulé To au 31/12/24</t>
  </si>
  <si>
    <t>Nombre d'unités produites</t>
  </si>
  <si>
    <t>Nombre d'unités vendues</t>
  </si>
  <si>
    <t>Tableau 1:  Flux Nets de Trésorerie d'Exploitation</t>
  </si>
  <si>
    <t xml:space="preserve">3) Calculer les taux de croissance annuelle de ces unités sur les mêmes années, dire si la concordance est confirmée ou non et justifier la situation constatée.     </t>
  </si>
  <si>
    <t xml:space="preserve">ce plan d'affaire peut-il attirer investisseur ? </t>
  </si>
  <si>
    <t xml:space="preserve">7) Vus les chiffres dans le tableau 1, calculez le montant des investissements non issus d'endettement. </t>
  </si>
  <si>
    <t xml:space="preserve">VAN= </t>
  </si>
  <si>
    <t xml:space="preserve">5) Calculer la VAN que dégage la Tableau 1 et apprécier si c'est faible moyen ou fort, en précisant au regard de quels indicateurs vous faites cette appréciation ;     </t>
  </si>
  <si>
    <t>FNT actu. au 31/12/2024</t>
  </si>
  <si>
    <t>6) Donner deux solutions technologie automatique permettant de générer mensuellement pour suivi vérifications les données des tableaux 1 et 2.</t>
  </si>
  <si>
    <t>FNT actu. cumulé au 31/12/24</t>
  </si>
  <si>
    <t xml:space="preserve">UE: ENTREPRENEURIAT ET INNOVATION  </t>
  </si>
  <si>
    <t xml:space="preserve">4)Après avoir défini la méthode d'analyse des données de tendances sectorielles, dites en quoi elles peuvent intervenir dans l'appréciation de ces       </t>
  </si>
  <si>
    <t xml:space="preserve"> Indicateurs Clés dePerformances (ICP).  </t>
  </si>
  <si>
    <t xml:space="preserve">1) Calculer les taux de croissance annuelle prévus pour le chiffre d'affaires en  2026 et 2027. </t>
  </si>
  <si>
    <t>2) Avec quelles unités (produites ou vendues) cela devrait être concordant.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</si>
</sst>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.5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10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.5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Fill="1" applyBorder="1" applyAlignment="1">
      <alignment horizontal="center" vertical="top" wrapText="1"/>
    </xf>
    <xf numFmtId="3" fontId="0" fillId="0" borderId="1" xfId="0" applyNumberFormat="1" applyBorder="1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3" fontId="4" fillId="0" borderId="1" xfId="0" applyNumberFormat="1" applyFont="1" applyBorder="1"/>
    <xf numFmtId="0" fontId="1" fillId="0" borderId="1" xfId="0" quotePrefix="1" applyFont="1" applyBorder="1" applyAlignment="1">
      <alignment horizontal="center" vertical="top" wrapText="1"/>
    </xf>
    <xf numFmtId="164" fontId="0" fillId="0" borderId="0" xfId="0" applyNumberFormat="1"/>
    <xf numFmtId="0" fontId="0" fillId="0" borderId="0" xfId="0" applyBorder="1"/>
    <xf numFmtId="3" fontId="0" fillId="0" borderId="0" xfId="0" applyNumberFormat="1" applyBorder="1"/>
    <xf numFmtId="0" fontId="4" fillId="0" borderId="0" xfId="0" applyFont="1"/>
    <xf numFmtId="0" fontId="4" fillId="0" borderId="1" xfId="0" applyFont="1" applyBorder="1"/>
    <xf numFmtId="0" fontId="8" fillId="0" borderId="0" xfId="0" applyFont="1"/>
    <xf numFmtId="0" fontId="8" fillId="0" borderId="0" xfId="0" applyFont="1" applyBorder="1"/>
    <xf numFmtId="0" fontId="9" fillId="0" borderId="0" xfId="0" applyFont="1"/>
    <xf numFmtId="0" fontId="0" fillId="0" borderId="0" xfId="0" applyFont="1" applyBorder="1"/>
    <xf numFmtId="3" fontId="7" fillId="0" borderId="1" xfId="0" applyNumberFormat="1" applyFont="1" applyBorder="1" applyAlignment="1">
      <alignment horizontal="center" vertical="top" wrapText="1"/>
    </xf>
    <xf numFmtId="3" fontId="0" fillId="0" borderId="1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3" fontId="4" fillId="0" borderId="3" xfId="0" applyNumberFormat="1" applyFont="1" applyBorder="1"/>
    <xf numFmtId="3" fontId="4" fillId="0" borderId="5" xfId="0" applyNumberFormat="1" applyFont="1" applyBorder="1" applyAlignment="1">
      <alignment horizontal="center"/>
    </xf>
    <xf numFmtId="0" fontId="6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vertical="center"/>
    </xf>
    <xf numFmtId="0" fontId="10" fillId="0" borderId="0" xfId="0" applyFont="1" applyFill="1" applyBorder="1" applyAlignment="1">
      <alignment horizontal="justify" vertical="top" wrapText="1"/>
    </xf>
    <xf numFmtId="3" fontId="4" fillId="0" borderId="0" xfId="0" applyNumberFormat="1" applyFont="1" applyBorder="1"/>
    <xf numFmtId="3" fontId="0" fillId="0" borderId="0" xfId="0" applyNumberFormat="1" applyAlignment="1">
      <alignment horizontal="center" vertical="center"/>
    </xf>
    <xf numFmtId="3" fontId="7" fillId="0" borderId="2" xfId="0" applyNumberFormat="1" applyFont="1" applyBorder="1" applyAlignment="1">
      <alignment horizontal="center" vertical="top"/>
    </xf>
    <xf numFmtId="3" fontId="7" fillId="0" borderId="1" xfId="0" applyNumberFormat="1" applyFont="1" applyBorder="1" applyAlignment="1">
      <alignment horizontal="center" vertical="top"/>
    </xf>
    <xf numFmtId="3" fontId="7" fillId="0" borderId="6" xfId="0" applyNumberFormat="1" applyFont="1" applyBorder="1" applyAlignment="1">
      <alignment horizontal="center" vertical="top"/>
    </xf>
    <xf numFmtId="0" fontId="4" fillId="0" borderId="4" xfId="0" applyFont="1" applyBorder="1" applyAlignment="1">
      <alignment vertical="center"/>
    </xf>
    <xf numFmtId="0" fontId="10" fillId="0" borderId="4" xfId="0" applyFont="1" applyFill="1" applyBorder="1" applyAlignment="1">
      <alignment horizontal="justify" vertical="top" wrapText="1"/>
    </xf>
    <xf numFmtId="3" fontId="4" fillId="0" borderId="5" xfId="0" applyNumberFormat="1" applyFont="1" applyBorder="1"/>
    <xf numFmtId="0" fontId="0" fillId="0" borderId="4" xfId="0" applyBorder="1"/>
    <xf numFmtId="0" fontId="6" fillId="0" borderId="5" xfId="0" applyFont="1" applyBorder="1" applyAlignment="1">
      <alignment horizontal="center" vertical="top"/>
    </xf>
    <xf numFmtId="3" fontId="4" fillId="0" borderId="3" xfId="0" applyNumberFormat="1" applyFont="1" applyBorder="1" applyAlignment="1"/>
    <xf numFmtId="0" fontId="5" fillId="0" borderId="5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0" fillId="0" borderId="0" xfId="0" applyAlignment="1">
      <alignment vertical="top"/>
    </xf>
    <xf numFmtId="3" fontId="4" fillId="0" borderId="0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right"/>
    </xf>
    <xf numFmtId="10" fontId="4" fillId="0" borderId="3" xfId="0" applyNumberFormat="1" applyFont="1" applyBorder="1" applyAlignment="1">
      <alignment horizontal="left"/>
    </xf>
    <xf numFmtId="0" fontId="14" fillId="0" borderId="1" xfId="0" quotePrefix="1" applyFont="1" applyBorder="1" applyAlignment="1">
      <alignment horizontal="center" vertical="top" wrapText="1"/>
    </xf>
    <xf numFmtId="3" fontId="4" fillId="0" borderId="0" xfId="0" applyNumberFormat="1" applyFont="1" applyBorder="1" applyAlignment="1">
      <alignment vertical="top"/>
    </xf>
    <xf numFmtId="0" fontId="8" fillId="0" borderId="0" xfId="0" applyFont="1" applyFill="1" applyBorder="1"/>
    <xf numFmtId="0" fontId="4" fillId="0" borderId="0" xfId="0" applyFont="1" applyBorder="1" applyAlignment="1">
      <alignment vertical="top"/>
    </xf>
    <xf numFmtId="0" fontId="5" fillId="0" borderId="0" xfId="0" applyFont="1" applyBorder="1" applyAlignment="1">
      <alignment horizontal="center" vertical="top"/>
    </xf>
    <xf numFmtId="3" fontId="4" fillId="0" borderId="0" xfId="0" applyNumberFormat="1" applyFont="1" applyBorder="1" applyAlignment="1"/>
    <xf numFmtId="3" fontId="7" fillId="0" borderId="0" xfId="0" applyNumberFormat="1" applyFont="1" applyBorder="1" applyAlignment="1">
      <alignment horizontal="center" vertical="top"/>
    </xf>
    <xf numFmtId="3" fontId="15" fillId="0" borderId="0" xfId="0" applyNumberFormat="1" applyFont="1"/>
    <xf numFmtId="3" fontId="16" fillId="0" borderId="0" xfId="0" applyNumberFormat="1" applyFont="1" applyBorder="1"/>
    <xf numFmtId="0" fontId="13" fillId="0" borderId="0" xfId="0" applyFont="1" applyBorder="1"/>
    <xf numFmtId="0" fontId="5" fillId="0" borderId="0" xfId="0" applyFont="1" applyBorder="1"/>
    <xf numFmtId="0" fontId="17" fillId="0" borderId="0" xfId="0" applyFont="1"/>
    <xf numFmtId="3" fontId="7" fillId="0" borderId="6" xfId="0" applyNumberFormat="1" applyFont="1" applyFill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3" fontId="1" fillId="0" borderId="8" xfId="0" applyNumberFormat="1" applyFont="1" applyBorder="1" applyAlignment="1">
      <alignment horizontal="center" vertical="top" wrapText="1"/>
    </xf>
    <xf numFmtId="3" fontId="7" fillId="0" borderId="8" xfId="0" applyNumberFormat="1" applyFont="1" applyBorder="1" applyAlignment="1">
      <alignment horizontal="center" vertical="top" wrapText="1"/>
    </xf>
    <xf numFmtId="3" fontId="7" fillId="0" borderId="4" xfId="0" applyNumberFormat="1" applyFont="1" applyBorder="1" applyAlignment="1">
      <alignment horizontal="center" vertical="top" wrapText="1"/>
    </xf>
    <xf numFmtId="3" fontId="0" fillId="0" borderId="4" xfId="0" applyNumberFormat="1" applyFont="1" applyBorder="1" applyAlignment="1">
      <alignment horizontal="center"/>
    </xf>
    <xf numFmtId="3" fontId="7" fillId="0" borderId="7" xfId="0" applyNumberFormat="1" applyFont="1" applyFill="1" applyBorder="1" applyAlignment="1">
      <alignment horizontal="center" vertical="top" wrapText="1"/>
    </xf>
    <xf numFmtId="3" fontId="0" fillId="0" borderId="4" xfId="0" applyNumberFormat="1" applyBorder="1" applyAlignment="1">
      <alignment horizontal="center"/>
    </xf>
    <xf numFmtId="0" fontId="4" fillId="0" borderId="0" xfId="0" applyFont="1" applyBorder="1"/>
    <xf numFmtId="3" fontId="0" fillId="0" borderId="0" xfId="0" applyNumberFormat="1" applyBorder="1" applyAlignment="1">
      <alignment vertical="top"/>
    </xf>
    <xf numFmtId="0" fontId="0" fillId="0" borderId="0" xfId="0" applyBorder="1" applyAlignment="1">
      <alignment vertical="top"/>
    </xf>
    <xf numFmtId="0" fontId="4" fillId="0" borderId="0" xfId="0" applyFont="1" applyBorder="1" applyAlignment="1">
      <alignment horizontal="center"/>
    </xf>
    <xf numFmtId="3" fontId="4" fillId="0" borderId="0" xfId="0" applyNumberFormat="1" applyFont="1" applyBorder="1" applyAlignment="1">
      <alignment horizontal="right"/>
    </xf>
    <xf numFmtId="10" fontId="4" fillId="0" borderId="0" xfId="0" applyNumberFormat="1" applyFont="1" applyBorder="1" applyAlignment="1">
      <alignment horizontal="left"/>
    </xf>
    <xf numFmtId="4" fontId="4" fillId="0" borderId="0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left"/>
    </xf>
    <xf numFmtId="0" fontId="12" fillId="0" borderId="0" xfId="0" applyFont="1" applyBorder="1"/>
    <xf numFmtId="3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view="pageLayout" topLeftCell="A2" workbookViewId="0">
      <selection activeCell="A26" sqref="A26:G29"/>
    </sheetView>
  </sheetViews>
  <sheetFormatPr baseColWidth="10" defaultRowHeight="14.4" x14ac:dyDescent="0.3"/>
  <cols>
    <col min="1" max="1" width="32.109375" customWidth="1"/>
    <col min="2" max="2" width="14.44140625" customWidth="1"/>
    <col min="3" max="3" width="14" customWidth="1"/>
    <col min="4" max="4" width="13.6640625" customWidth="1"/>
    <col min="5" max="5" width="13.33203125" customWidth="1"/>
    <col min="6" max="6" width="14.5546875" customWidth="1"/>
    <col min="7" max="7" width="16.6640625" customWidth="1"/>
    <col min="8" max="8" width="11.44140625" customWidth="1"/>
    <col min="9" max="9" width="14.44140625" bestFit="1" customWidth="1"/>
  </cols>
  <sheetData>
    <row r="1" spans="1:13" x14ac:dyDescent="0.3">
      <c r="A1" t="s">
        <v>22</v>
      </c>
    </row>
    <row r="3" spans="1:13" x14ac:dyDescent="0.3">
      <c r="B3" s="10" t="s">
        <v>35</v>
      </c>
    </row>
    <row r="4" spans="1:13" ht="13.5" customHeight="1" x14ac:dyDescent="0.3">
      <c r="A4" s="3" t="s">
        <v>0</v>
      </c>
      <c r="B4" s="3">
        <v>2024</v>
      </c>
      <c r="C4" s="3">
        <v>2025</v>
      </c>
      <c r="D4" s="3">
        <v>2026</v>
      </c>
      <c r="E4" s="3">
        <v>2027</v>
      </c>
      <c r="F4" s="3">
        <v>2028</v>
      </c>
      <c r="G4" s="3">
        <v>2029</v>
      </c>
      <c r="H4" s="48"/>
      <c r="I4" s="48"/>
      <c r="J4" s="48"/>
    </row>
    <row r="5" spans="1:13" ht="13.5" customHeight="1" x14ac:dyDescent="0.3">
      <c r="A5" s="28" t="s">
        <v>19</v>
      </c>
      <c r="B5" s="27">
        <v>0</v>
      </c>
      <c r="C5" s="27">
        <f>40000000*POWER(1.12,1)</f>
        <v>44800000.000000007</v>
      </c>
      <c r="D5" s="27">
        <f>40000000*POWER(1.12,2)</f>
        <v>50176000.000000007</v>
      </c>
      <c r="E5" s="27">
        <f>40000000*POWER(1.14,3)</f>
        <v>59261759.999999993</v>
      </c>
      <c r="F5" s="27">
        <f>40000000*POWER(1.15,4)</f>
        <v>69960249.99999997</v>
      </c>
      <c r="G5" s="27">
        <f>40000000*POWER(1.15,5)</f>
        <v>80454287.49999997</v>
      </c>
      <c r="H5" s="48"/>
      <c r="I5" s="48"/>
      <c r="J5" s="48"/>
    </row>
    <row r="6" spans="1:13" ht="12.75" customHeight="1" x14ac:dyDescent="0.3">
      <c r="A6" s="24" t="s">
        <v>8</v>
      </c>
      <c r="B6" s="16">
        <v>0</v>
      </c>
      <c r="C6" s="25">
        <f>8500000*POWER(1.12,1)</f>
        <v>9520000</v>
      </c>
      <c r="D6" s="25">
        <f>8500000*POWER(1.11,2)</f>
        <v>10472850.000000002</v>
      </c>
      <c r="E6" s="25">
        <f>8500000*POWER(1.12,3)</f>
        <v>11941888.000000004</v>
      </c>
      <c r="F6" s="25">
        <f>8500000*POWER(1.15,4)</f>
        <v>14866553.124999994</v>
      </c>
      <c r="G6" s="29">
        <f>8500000*POWER(1.15,5)</f>
        <v>17096536.093749996</v>
      </c>
      <c r="H6" s="48"/>
      <c r="I6" s="48"/>
      <c r="J6" s="48"/>
      <c r="K6" s="8"/>
      <c r="L6" s="8"/>
      <c r="M6" s="8"/>
    </row>
    <row r="7" spans="1:13" ht="12.75" customHeight="1" x14ac:dyDescent="0.3">
      <c r="A7" s="24" t="s">
        <v>26</v>
      </c>
      <c r="B7" s="16">
        <v>0</v>
      </c>
      <c r="C7" s="25">
        <f>8500000*POWER(1.12,1)</f>
        <v>9520000</v>
      </c>
      <c r="D7" s="25">
        <f>8500000*POWER(1.11,2)</f>
        <v>10472850.000000002</v>
      </c>
      <c r="E7" s="25">
        <f>8500000*POWER(1.12,3)</f>
        <v>11941888.000000004</v>
      </c>
      <c r="F7" s="25">
        <f>8500000*POWER(1.15,4)</f>
        <v>14866553.124999994</v>
      </c>
      <c r="G7" s="29">
        <f>8500000*POWER(1.15,5)</f>
        <v>17096536.093749996</v>
      </c>
      <c r="H7" s="82"/>
      <c r="I7" s="82"/>
      <c r="J7" s="82"/>
      <c r="K7" s="82"/>
      <c r="L7" s="82"/>
      <c r="M7" s="8"/>
    </row>
    <row r="8" spans="1:13" ht="4.5" hidden="1" customHeight="1" x14ac:dyDescent="0.3">
      <c r="A8" s="24" t="s">
        <v>9</v>
      </c>
      <c r="B8" s="16"/>
      <c r="C8" s="16">
        <f>13000000*POWER(1.12,1)</f>
        <v>14560000.000000002</v>
      </c>
      <c r="D8" s="16">
        <f>13000000*POWER(1.11,2)</f>
        <v>16017300.000000002</v>
      </c>
      <c r="E8" s="16">
        <f>13000000*POWER(1.12,3)</f>
        <v>18264064.000000004</v>
      </c>
      <c r="F8" s="16">
        <f>13000000*POWER(1.15,4)</f>
        <v>22737081.249999993</v>
      </c>
      <c r="G8" s="16">
        <f>13000000*POWER(1.15,5)</f>
        <v>26147643.437499993</v>
      </c>
      <c r="H8" s="82"/>
      <c r="I8" s="82"/>
      <c r="J8" s="82"/>
      <c r="K8" s="82"/>
      <c r="L8" s="82"/>
      <c r="M8" s="8"/>
    </row>
    <row r="9" spans="1:13" ht="15" customHeight="1" x14ac:dyDescent="0.3">
      <c r="A9" s="24" t="s">
        <v>30</v>
      </c>
      <c r="B9" s="16">
        <v>0</v>
      </c>
      <c r="C9" s="25">
        <f>2000000*POWER(1.12,1)</f>
        <v>2240000</v>
      </c>
      <c r="D9" s="25">
        <f>2000000*POWER(1.11,2)</f>
        <v>2464200.0000000005</v>
      </c>
      <c r="E9" s="25">
        <f>2000000*POWER(1.12,3)</f>
        <v>2809856.0000000009</v>
      </c>
      <c r="F9" s="25">
        <f>2000000*POWER(1.15,4)</f>
        <v>3498012.4999999991</v>
      </c>
      <c r="G9" s="29">
        <f>2000000*POWER(1.15,5)</f>
        <v>4022714.3749999986</v>
      </c>
      <c r="H9" s="9"/>
      <c r="I9" s="9"/>
      <c r="J9" s="9"/>
      <c r="K9" s="9"/>
      <c r="L9" s="9"/>
      <c r="M9" s="8"/>
    </row>
    <row r="10" spans="1:13" ht="15" customHeight="1" x14ac:dyDescent="0.3">
      <c r="A10" s="6" t="s">
        <v>29</v>
      </c>
      <c r="B10" s="17">
        <v>0</v>
      </c>
      <c r="C10" s="17">
        <v>2559722.222222222</v>
      </c>
      <c r="D10" s="17">
        <v>2559722.222222222</v>
      </c>
      <c r="E10" s="17">
        <v>2559722.222222222</v>
      </c>
      <c r="F10" s="17">
        <v>2613055.5555555555</v>
      </c>
      <c r="G10" s="17">
        <v>2613055.5555555555</v>
      </c>
      <c r="H10" s="9"/>
      <c r="I10" s="9"/>
      <c r="J10" s="9"/>
      <c r="K10" s="9"/>
      <c r="L10" s="9"/>
      <c r="M10" s="8"/>
    </row>
    <row r="11" spans="1:13" ht="12" customHeight="1" x14ac:dyDescent="0.3">
      <c r="A11" s="24" t="s">
        <v>28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9"/>
      <c r="I11" s="9"/>
      <c r="J11" s="9"/>
      <c r="K11" s="9"/>
      <c r="L11" s="9"/>
      <c r="M11" s="8"/>
    </row>
    <row r="12" spans="1:13" ht="13.5" customHeight="1" x14ac:dyDescent="0.3">
      <c r="A12" s="3" t="s">
        <v>27</v>
      </c>
      <c r="B12" s="16">
        <v>0</v>
      </c>
      <c r="C12" s="16">
        <f>C5-C6-C7-C8-C9-C10-C11</f>
        <v>6400277.7777777836</v>
      </c>
      <c r="D12" s="16">
        <f>D5-D6-D7-D8-D9-D10-D11</f>
        <v>8189077.7777777836</v>
      </c>
      <c r="E12" s="16">
        <f>E5-E6-E7-E8-E9-E10-E11</f>
        <v>11744341.777777759</v>
      </c>
      <c r="F12" s="16">
        <f>F5-F6-F7-F8-F9-F10-F11</f>
        <v>11378994.444444437</v>
      </c>
      <c r="G12" s="16">
        <f>G5-G6-G7-G8-G9-G10-G11</f>
        <v>13477801.944444424</v>
      </c>
      <c r="H12" s="9"/>
      <c r="I12" s="9"/>
      <c r="J12" s="9"/>
      <c r="K12" s="9"/>
      <c r="L12" s="9"/>
      <c r="M12" s="8"/>
    </row>
    <row r="13" spans="1:13" ht="14.25" customHeight="1" x14ac:dyDescent="0.3">
      <c r="A13" s="6" t="s">
        <v>10</v>
      </c>
      <c r="B13" s="17">
        <v>0</v>
      </c>
      <c r="C13" s="17">
        <v>2559722.222222222</v>
      </c>
      <c r="D13" s="17">
        <v>2559722.222222222</v>
      </c>
      <c r="E13" s="17">
        <v>2559722.222222222</v>
      </c>
      <c r="F13" s="17">
        <v>2613055.5555555555</v>
      </c>
      <c r="G13" s="17">
        <v>2613055.5555555555</v>
      </c>
      <c r="H13" s="9"/>
      <c r="I13" s="9"/>
      <c r="J13" s="9"/>
      <c r="K13" s="9"/>
      <c r="L13" s="9"/>
      <c r="M13" s="8"/>
    </row>
    <row r="14" spans="1:13" ht="13.5" customHeight="1" x14ac:dyDescent="0.3">
      <c r="A14" s="6" t="s">
        <v>12</v>
      </c>
      <c r="B14" s="16">
        <v>0</v>
      </c>
      <c r="C14" s="16">
        <f t="shared" ref="C14:G14" si="0">C12+C13</f>
        <v>8960000.0000000056</v>
      </c>
      <c r="D14" s="16">
        <f t="shared" si="0"/>
        <v>10748800.000000006</v>
      </c>
      <c r="E14" s="16">
        <f t="shared" si="0"/>
        <v>14304063.999999981</v>
      </c>
      <c r="F14" s="16">
        <f t="shared" si="0"/>
        <v>13992049.999999993</v>
      </c>
      <c r="G14" s="16">
        <f t="shared" si="0"/>
        <v>16090857.49999998</v>
      </c>
      <c r="H14" s="9"/>
      <c r="I14" s="9"/>
      <c r="J14" s="9"/>
      <c r="K14" s="9"/>
      <c r="L14" s="9"/>
      <c r="M14" s="8"/>
    </row>
    <row r="15" spans="1:13" ht="17.25" customHeight="1" x14ac:dyDescent="0.3">
      <c r="A15" s="6" t="s">
        <v>20</v>
      </c>
      <c r="B15" s="16">
        <v>0</v>
      </c>
      <c r="C15" s="16">
        <v>-1115022</v>
      </c>
      <c r="D15" s="16">
        <v>-201905</v>
      </c>
      <c r="E15" s="16">
        <v>-237744</v>
      </c>
      <c r="F15" s="16">
        <v>-233200</v>
      </c>
      <c r="G15" s="16">
        <f>-(D15+E15+F15)</f>
        <v>672849</v>
      </c>
      <c r="H15" s="9"/>
      <c r="I15" s="9"/>
      <c r="J15" s="9"/>
      <c r="K15" s="9"/>
      <c r="L15" s="9"/>
      <c r="M15" s="8"/>
    </row>
    <row r="16" spans="1:13" ht="13.5" customHeight="1" x14ac:dyDescent="0.3">
      <c r="A16" s="6" t="s">
        <v>6</v>
      </c>
      <c r="B16" s="16">
        <v>10000000</v>
      </c>
      <c r="C16" s="16"/>
      <c r="D16" s="16"/>
      <c r="E16" s="16"/>
      <c r="F16" s="16"/>
      <c r="G16" s="16"/>
      <c r="H16" s="9"/>
      <c r="I16" s="9"/>
      <c r="J16" s="9"/>
      <c r="K16" s="9"/>
      <c r="L16" s="9"/>
      <c r="M16" s="8"/>
    </row>
    <row r="17" spans="1:13" ht="13.5" customHeight="1" x14ac:dyDescent="0.3">
      <c r="A17" s="6" t="s">
        <v>1</v>
      </c>
      <c r="B17" s="16"/>
      <c r="C17" s="16"/>
      <c r="D17" s="16"/>
      <c r="E17" s="16"/>
      <c r="F17" s="16"/>
      <c r="G17" s="16">
        <v>50913055.555555567</v>
      </c>
      <c r="H17" s="9"/>
      <c r="I17" s="9"/>
      <c r="J17" s="9"/>
      <c r="K17" s="9"/>
      <c r="L17" s="9"/>
      <c r="M17" s="8"/>
    </row>
    <row r="18" spans="1:13" ht="15" customHeight="1" x14ac:dyDescent="0.3">
      <c r="A18" s="6" t="s">
        <v>2</v>
      </c>
      <c r="B18" s="16"/>
      <c r="C18" s="16"/>
      <c r="D18" s="16"/>
      <c r="E18" s="16"/>
      <c r="F18" s="16"/>
      <c r="G18" s="16">
        <v>1115022</v>
      </c>
      <c r="H18" s="9"/>
      <c r="I18" s="9"/>
      <c r="J18" s="9"/>
      <c r="K18" s="9"/>
      <c r="L18" s="9"/>
      <c r="M18" s="8"/>
    </row>
    <row r="19" spans="1:13" ht="14.25" customHeight="1" x14ac:dyDescent="0.3">
      <c r="A19" s="21" t="s">
        <v>11</v>
      </c>
      <c r="B19" s="16">
        <v>0</v>
      </c>
      <c r="C19" s="16">
        <v>-2500000</v>
      </c>
      <c r="D19" s="16">
        <v>-2500000</v>
      </c>
      <c r="E19" s="16">
        <v>-2500000</v>
      </c>
      <c r="F19" s="16">
        <v>-2500000</v>
      </c>
      <c r="G19" s="16">
        <v>0</v>
      </c>
      <c r="H19" s="9"/>
      <c r="I19" s="9"/>
      <c r="J19" s="9"/>
      <c r="K19" s="9"/>
      <c r="L19" s="9"/>
      <c r="M19" s="8"/>
    </row>
    <row r="20" spans="1:13" ht="14.25" customHeight="1" x14ac:dyDescent="0.3">
      <c r="A20" s="53" t="s">
        <v>21</v>
      </c>
      <c r="B20" s="16">
        <v>0</v>
      </c>
      <c r="C20" s="16">
        <v>-2222222</v>
      </c>
      <c r="D20" s="16">
        <v>-2222222</v>
      </c>
      <c r="E20" s="16">
        <v>-2222227</v>
      </c>
      <c r="F20" s="65">
        <v>0</v>
      </c>
      <c r="G20" s="65">
        <v>0</v>
      </c>
      <c r="H20" s="9"/>
      <c r="I20" s="9"/>
      <c r="J20" s="9"/>
      <c r="K20" s="9"/>
      <c r="L20" s="9"/>
      <c r="M20" s="8"/>
    </row>
    <row r="21" spans="1:13" ht="14.25" customHeight="1" x14ac:dyDescent="0.3">
      <c r="A21" s="6" t="s">
        <v>13</v>
      </c>
      <c r="B21" s="16">
        <f t="shared" ref="B21:G21" si="1">SUM(B14:B20)</f>
        <v>10000000</v>
      </c>
      <c r="C21" s="16">
        <f t="shared" si="1"/>
        <v>3122756.0000000056</v>
      </c>
      <c r="D21" s="16">
        <f t="shared" si="1"/>
        <v>5824673.0000000056</v>
      </c>
      <c r="E21" s="16">
        <f t="shared" si="1"/>
        <v>9344092.9999999814</v>
      </c>
      <c r="F21" s="16">
        <f t="shared" si="1"/>
        <v>11258849.999999993</v>
      </c>
      <c r="G21" s="16">
        <f t="shared" si="1"/>
        <v>68791784.055555552</v>
      </c>
      <c r="H21" s="9"/>
      <c r="I21" s="9"/>
      <c r="J21" s="9"/>
      <c r="K21" s="9"/>
      <c r="L21" s="9"/>
      <c r="M21" s="8"/>
    </row>
    <row r="22" spans="1:13" ht="12.75" customHeight="1" x14ac:dyDescent="0.3">
      <c r="A22" s="3" t="s">
        <v>31</v>
      </c>
      <c r="B22" s="16">
        <f>POWER(1.12,0)*B21</f>
        <v>10000000</v>
      </c>
      <c r="C22" s="16">
        <f>POWER(1.12,-1)*C21</f>
        <v>2788175.0000000047</v>
      </c>
      <c r="D22" s="16">
        <f>POWER(1.12,-2)*D21</f>
        <v>4643393.6543367384</v>
      </c>
      <c r="E22" s="16">
        <f>POWER(1.12,-3)*E21</f>
        <v>6650940.8311315449</v>
      </c>
      <c r="F22" s="16">
        <f>POWER(1.12,-4)*F21</f>
        <v>7155202.7170482287</v>
      </c>
      <c r="G22" s="16">
        <f>POWER(1.12,-5)*G21</f>
        <v>39034305.725916751</v>
      </c>
      <c r="H22" s="9"/>
      <c r="I22" s="9"/>
      <c r="J22" s="9"/>
      <c r="K22" s="9"/>
      <c r="L22" s="9"/>
      <c r="M22" s="8"/>
    </row>
    <row r="23" spans="1:13" ht="15" customHeight="1" x14ac:dyDescent="0.3">
      <c r="A23" s="3" t="s">
        <v>32</v>
      </c>
      <c r="B23" s="16">
        <f>B22</f>
        <v>10000000</v>
      </c>
      <c r="C23" s="16">
        <f>B22+C22</f>
        <v>12788175.000000004</v>
      </c>
      <c r="D23" s="16">
        <f>C23+D22</f>
        <v>17431568.654336743</v>
      </c>
      <c r="E23" s="16">
        <f>D23+E22</f>
        <v>24082509.485468287</v>
      </c>
      <c r="F23" s="16">
        <f>E23+F22</f>
        <v>31237712.202516515</v>
      </c>
      <c r="G23" s="16">
        <f>F23+G22</f>
        <v>70272017.928433269</v>
      </c>
      <c r="H23" s="9"/>
      <c r="I23" s="9"/>
      <c r="J23" s="9"/>
      <c r="K23" s="9"/>
      <c r="L23" s="9"/>
      <c r="M23" s="8"/>
    </row>
    <row r="24" spans="1:13" ht="15" customHeight="1" x14ac:dyDescent="0.3">
      <c r="A24" s="1" t="s">
        <v>3</v>
      </c>
      <c r="B24" s="26">
        <f>63925000</f>
        <v>63925000</v>
      </c>
      <c r="C24" s="2"/>
      <c r="D24" s="2"/>
      <c r="E24" s="26">
        <f>POWER(1.12,-3)*1840000</f>
        <v>1309675.6559766759</v>
      </c>
      <c r="F24" s="2"/>
      <c r="G24" s="26">
        <f>POWER(1.12,-5)*2400000</f>
        <v>1361824.4537246381</v>
      </c>
      <c r="H24" s="9"/>
      <c r="I24" s="9"/>
      <c r="J24" s="9"/>
      <c r="K24" s="9"/>
      <c r="L24" s="9"/>
      <c r="M24" s="8"/>
    </row>
    <row r="25" spans="1:13" ht="14.25" customHeight="1" x14ac:dyDescent="0.3">
      <c r="A25" s="20"/>
      <c r="B25" s="18" t="s">
        <v>4</v>
      </c>
      <c r="C25" s="4"/>
      <c r="D25" s="51" t="s">
        <v>14</v>
      </c>
      <c r="E25" s="52"/>
      <c r="F25" s="20" t="s">
        <v>5</v>
      </c>
      <c r="G25" s="50"/>
      <c r="H25" s="9"/>
      <c r="I25" s="9"/>
      <c r="J25" s="9"/>
      <c r="K25" s="9"/>
      <c r="L25" s="9"/>
      <c r="M25" s="8"/>
    </row>
    <row r="26" spans="1:13" ht="14.25" customHeight="1" x14ac:dyDescent="0.3">
      <c r="A26" s="31"/>
      <c r="C26" s="32" t="s">
        <v>18</v>
      </c>
      <c r="D26" s="32" t="s">
        <v>15</v>
      </c>
      <c r="E26" s="32"/>
      <c r="F26" s="32"/>
      <c r="G26" s="32"/>
      <c r="H26" s="32"/>
      <c r="I26" s="32"/>
      <c r="J26" s="9"/>
      <c r="K26" s="9"/>
      <c r="L26" s="9"/>
      <c r="M26" s="8"/>
    </row>
    <row r="27" spans="1:13" ht="13.5" customHeight="1" x14ac:dyDescent="0.3">
      <c r="A27" s="39" t="s">
        <v>16</v>
      </c>
      <c r="B27" s="19"/>
      <c r="C27" s="3">
        <v>2025</v>
      </c>
      <c r="D27" s="3">
        <v>2026</v>
      </c>
      <c r="E27" s="3">
        <v>2027</v>
      </c>
      <c r="F27" s="3">
        <v>2028</v>
      </c>
      <c r="G27" s="3">
        <v>2029</v>
      </c>
      <c r="H27" s="5"/>
      <c r="J27" s="8"/>
      <c r="K27" s="8"/>
      <c r="L27" s="8"/>
      <c r="M27" s="8"/>
    </row>
    <row r="28" spans="1:13" x14ac:dyDescent="0.3">
      <c r="A28" s="41" t="s">
        <v>33</v>
      </c>
      <c r="B28" s="42"/>
      <c r="C28" s="36">
        <f>(762500000*POWER(1.12,1))/3*2</f>
        <v>569333333.33333337</v>
      </c>
      <c r="D28" s="36">
        <f>(762500000*POWER(1.12,2))/3*2</f>
        <v>637653333.33333337</v>
      </c>
      <c r="E28" s="36">
        <f>(762500000*POWER(1.14,3))/3*2</f>
        <v>753118199.99999988</v>
      </c>
      <c r="F28" s="36">
        <f>(762500000*POWER(1.15,4))/3*2</f>
        <v>889078177.08333302</v>
      </c>
      <c r="G28" s="36">
        <f>(762500000*POWER(1.15,5))/3*2</f>
        <v>1022439903.645833</v>
      </c>
      <c r="J28" s="8"/>
      <c r="K28" s="8"/>
      <c r="L28" s="8"/>
      <c r="M28" s="8"/>
    </row>
    <row r="29" spans="1:13" ht="13.5" customHeight="1" x14ac:dyDescent="0.3">
      <c r="A29" s="43" t="s">
        <v>34</v>
      </c>
      <c r="B29" s="42"/>
      <c r="C29" s="34">
        <f>(0.33*2300000000*POWER(1.12,1))/3*2</f>
        <v>566720000.00000012</v>
      </c>
      <c r="D29" s="34">
        <f>(0.33*2300000000*POWER(1.12,2))/3*2</f>
        <v>634726400.00000012</v>
      </c>
      <c r="E29" s="34">
        <f>(0.33*2300000000*POWER(1.14,3))/3*2</f>
        <v>749661263.99999988</v>
      </c>
      <c r="F29" s="34">
        <f>(0.33*2300000000*POWER(1.15,4))/3*2</f>
        <v>884997162.49999964</v>
      </c>
      <c r="G29" s="34">
        <f>(0.33*2300000000*POWER(1.15,5))/3*2</f>
        <v>1017746736.8749996</v>
      </c>
      <c r="J29" s="15"/>
      <c r="K29" s="15"/>
      <c r="L29" s="13"/>
      <c r="M29" s="13"/>
    </row>
    <row r="30" spans="1:13" ht="15" customHeight="1" x14ac:dyDescent="0.3">
      <c r="C30" s="14"/>
      <c r="E30" s="14"/>
      <c r="F30" s="14"/>
      <c r="G30" s="14"/>
      <c r="H30" s="15"/>
      <c r="I30" s="15"/>
      <c r="J30" s="15"/>
      <c r="K30" s="15"/>
      <c r="L30" s="12"/>
      <c r="M30" s="12"/>
    </row>
    <row r="31" spans="1:13" ht="12.75" customHeight="1" x14ac:dyDescent="0.3">
      <c r="A31" s="49"/>
      <c r="C31" s="14"/>
      <c r="D31" s="14"/>
      <c r="E31" s="14"/>
      <c r="F31" s="14"/>
      <c r="G31" s="14"/>
      <c r="H31" s="15"/>
      <c r="I31" s="15"/>
      <c r="J31" s="15"/>
      <c r="K31" s="15"/>
      <c r="L31" s="12"/>
      <c r="M31" s="12"/>
    </row>
    <row r="32" spans="1:13" x14ac:dyDescent="0.3">
      <c r="E32" s="10"/>
      <c r="H32" s="15"/>
      <c r="I32" s="15"/>
      <c r="J32" s="15"/>
      <c r="K32" s="15"/>
    </row>
    <row r="36" spans="2:2" x14ac:dyDescent="0.3">
      <c r="B36" s="7"/>
    </row>
  </sheetData>
  <mergeCells count="5">
    <mergeCell ref="H7:H8"/>
    <mergeCell ref="I7:I8"/>
    <mergeCell ref="J7:J8"/>
    <mergeCell ref="K7:K8"/>
    <mergeCell ref="L7:L8"/>
  </mergeCells>
  <pageMargins left="0.7" right="0.7" top="0.75" bottom="0.75" header="0.3" footer="0.3"/>
  <pageSetup paperSize="9" orientation="landscape" r:id="rId1"/>
  <headerFooter>
    <oddHeader xml:space="preserve">&amp;R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abSelected="1" view="pageLayout" zoomScale="70" zoomScalePageLayoutView="70" workbookViewId="0">
      <selection activeCell="E48" sqref="E48"/>
    </sheetView>
  </sheetViews>
  <sheetFormatPr baseColWidth="10" defaultRowHeight="14.4" x14ac:dyDescent="0.3"/>
  <cols>
    <col min="1" max="1" width="3" customWidth="1"/>
    <col min="2" max="2" width="29.21875" customWidth="1"/>
    <col min="3" max="3" width="11.109375" customWidth="1"/>
    <col min="4" max="4" width="11.21875" customWidth="1"/>
    <col min="5" max="5" width="11.5546875" customWidth="1"/>
    <col min="6" max="6" width="12.6640625" customWidth="1"/>
    <col min="7" max="7" width="12.5546875" customWidth="1"/>
    <col min="8" max="8" width="13" customWidth="1"/>
    <col min="9" max="9" width="12.88671875" customWidth="1"/>
    <col min="10" max="10" width="13" customWidth="1"/>
  </cols>
  <sheetData>
    <row r="1" spans="1:11" ht="12.15" customHeight="1" x14ac:dyDescent="0.3">
      <c r="A1" s="10" t="s">
        <v>44</v>
      </c>
      <c r="C1" s="10"/>
      <c r="D1" s="10" t="s">
        <v>24</v>
      </c>
      <c r="H1" s="10" t="s">
        <v>23</v>
      </c>
    </row>
    <row r="2" spans="1:11" ht="12.15" customHeight="1" x14ac:dyDescent="0.3">
      <c r="A2" t="s">
        <v>25</v>
      </c>
      <c r="E2" s="10" t="s">
        <v>35</v>
      </c>
    </row>
    <row r="3" spans="1:11" ht="12.15" customHeight="1" x14ac:dyDescent="0.3">
      <c r="A3" s="4" t="s">
        <v>7</v>
      </c>
      <c r="B3" s="3" t="s">
        <v>0</v>
      </c>
      <c r="C3" s="3">
        <v>2024</v>
      </c>
      <c r="D3" s="3">
        <v>2025</v>
      </c>
      <c r="E3" s="3">
        <v>2026</v>
      </c>
      <c r="F3" s="3">
        <v>2027</v>
      </c>
      <c r="G3" s="3">
        <v>2028</v>
      </c>
      <c r="H3" s="66">
        <v>2029</v>
      </c>
      <c r="I3" s="73"/>
      <c r="J3" s="73"/>
      <c r="K3" s="73"/>
    </row>
    <row r="4" spans="1:11" ht="12.15" customHeight="1" x14ac:dyDescent="0.3">
      <c r="A4" s="22">
        <v>1</v>
      </c>
      <c r="B4" s="28" t="s">
        <v>19</v>
      </c>
      <c r="C4" s="27">
        <v>0</v>
      </c>
      <c r="D4" s="27">
        <f>40000000*POWER(1.12,1)</f>
        <v>44800000.000000007</v>
      </c>
      <c r="E4" s="27">
        <f>40000000*POWER(1.12,2)</f>
        <v>50176000.000000007</v>
      </c>
      <c r="F4" s="27">
        <f>40000000*POWER(1.14,3)</f>
        <v>59261759.999999993</v>
      </c>
      <c r="G4" s="27">
        <f>40000000*POWER(1.15,4)</f>
        <v>69960249.99999997</v>
      </c>
      <c r="H4" s="67">
        <f>40000000*POWER(1.15,5)</f>
        <v>80454287.49999997</v>
      </c>
      <c r="I4" s="9"/>
      <c r="J4" s="9"/>
      <c r="K4" s="9"/>
    </row>
    <row r="5" spans="1:11" ht="12.15" customHeight="1" x14ac:dyDescent="0.3">
      <c r="A5" s="22">
        <v>2</v>
      </c>
      <c r="B5" s="24" t="s">
        <v>8</v>
      </c>
      <c r="C5" s="16">
        <v>0</v>
      </c>
      <c r="D5" s="25">
        <f>8500000*POWER(1.12,1)</f>
        <v>9520000</v>
      </c>
      <c r="E5" s="25">
        <f>8500000*POWER(1.11,2)</f>
        <v>10472850.000000002</v>
      </c>
      <c r="F5" s="25">
        <f>8500000*POWER(1.12,3)</f>
        <v>11941888.000000004</v>
      </c>
      <c r="G5" s="25">
        <f>8500000*POWER(1.15,4)</f>
        <v>14866553.124999994</v>
      </c>
      <c r="H5" s="68">
        <f>8500000*POWER(1.15,5)</f>
        <v>17096536.093749996</v>
      </c>
      <c r="I5" s="74"/>
      <c r="J5" s="74"/>
      <c r="K5" s="9"/>
    </row>
    <row r="6" spans="1:11" ht="12.15" customHeight="1" x14ac:dyDescent="0.3">
      <c r="A6" s="22">
        <v>3</v>
      </c>
      <c r="B6" s="24" t="s">
        <v>26</v>
      </c>
      <c r="C6" s="16">
        <v>0</v>
      </c>
      <c r="D6" s="25">
        <f>8500000*POWER(1.12,1)</f>
        <v>9520000</v>
      </c>
      <c r="E6" s="25">
        <f>8500000*POWER(1.11,2)</f>
        <v>10472850.000000002</v>
      </c>
      <c r="F6" s="25">
        <f>8500000*POWER(1.12,3)</f>
        <v>11941888.000000004</v>
      </c>
      <c r="G6" s="25">
        <f>8500000*POWER(1.15,4)</f>
        <v>14866553.124999994</v>
      </c>
      <c r="H6" s="68">
        <f>8500000*POWER(1.15,5)</f>
        <v>17096536.093749996</v>
      </c>
      <c r="I6" s="74"/>
      <c r="J6" s="74"/>
      <c r="K6" s="9"/>
    </row>
    <row r="7" spans="1:11" ht="12.15" customHeight="1" x14ac:dyDescent="0.3">
      <c r="A7" s="45">
        <v>4</v>
      </c>
      <c r="B7" s="24" t="s">
        <v>9</v>
      </c>
      <c r="C7" s="16"/>
      <c r="D7" s="16">
        <f>13000000*POWER(1.12,1)</f>
        <v>14560000.000000002</v>
      </c>
      <c r="E7" s="16">
        <f>13000000*POWER(1.11,2)</f>
        <v>16017300.000000002</v>
      </c>
      <c r="F7" s="16">
        <f>13000000*POWER(1.12,3)</f>
        <v>18264064.000000004</v>
      </c>
      <c r="G7" s="16">
        <f>13000000*POWER(1.15,4)</f>
        <v>22737081.249999993</v>
      </c>
      <c r="H7" s="69">
        <f>13000000*POWER(1.15,5)</f>
        <v>26147643.437499993</v>
      </c>
      <c r="I7" s="9"/>
      <c r="J7" s="9"/>
      <c r="K7" s="9"/>
    </row>
    <row r="8" spans="1:11" ht="12.15" customHeight="1" x14ac:dyDescent="0.3">
      <c r="A8" s="46">
        <v>5</v>
      </c>
      <c r="B8" s="24" t="s">
        <v>30</v>
      </c>
      <c r="C8" s="16">
        <v>0</v>
      </c>
      <c r="D8" s="25">
        <f>2000000*POWER(1.12,1)</f>
        <v>2240000</v>
      </c>
      <c r="E8" s="25">
        <f>2000000*POWER(1.11,2)</f>
        <v>2464200.0000000005</v>
      </c>
      <c r="F8" s="25">
        <f>2000000*POWER(1.12,3)</f>
        <v>2809856.0000000009</v>
      </c>
      <c r="G8" s="25">
        <f>2000000*POWER(1.15,4)</f>
        <v>3498012.4999999991</v>
      </c>
      <c r="H8" s="68">
        <f>2000000*POWER(1.15,5)</f>
        <v>4022714.3749999986</v>
      </c>
      <c r="I8" s="74"/>
      <c r="J8" s="74"/>
      <c r="K8" s="74"/>
    </row>
    <row r="9" spans="1:11" ht="12.15" customHeight="1" x14ac:dyDescent="0.3">
      <c r="A9" s="46">
        <v>6</v>
      </c>
      <c r="B9" s="6" t="s">
        <v>29</v>
      </c>
      <c r="C9" s="17">
        <v>0</v>
      </c>
      <c r="D9" s="17">
        <v>2559722.222222222</v>
      </c>
      <c r="E9" s="17">
        <v>2559722.222222222</v>
      </c>
      <c r="F9" s="17">
        <v>2559722.222222222</v>
      </c>
      <c r="G9" s="17">
        <v>2613055.5555555555</v>
      </c>
      <c r="H9" s="70">
        <v>2613055.5555555555</v>
      </c>
      <c r="I9" s="74"/>
      <c r="J9" s="74"/>
      <c r="K9" s="74"/>
    </row>
    <row r="10" spans="1:11" ht="12.15" customHeight="1" x14ac:dyDescent="0.3">
      <c r="A10" s="46">
        <v>7</v>
      </c>
      <c r="B10" s="24" t="s">
        <v>28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69">
        <v>0</v>
      </c>
      <c r="I10" s="74"/>
      <c r="J10" s="74"/>
      <c r="K10" s="74"/>
    </row>
    <row r="11" spans="1:11" ht="12.15" customHeight="1" x14ac:dyDescent="0.3">
      <c r="A11" s="46">
        <v>8</v>
      </c>
      <c r="B11" s="3" t="s">
        <v>27</v>
      </c>
      <c r="C11" s="16">
        <v>0</v>
      </c>
      <c r="D11" s="16">
        <f>D4-D5-D6-D7-D8-D9-D10</f>
        <v>6400277.7777777836</v>
      </c>
      <c r="E11" s="16">
        <f>E4-E5-E6-E7-E8-E9-E10</f>
        <v>8189077.7777777836</v>
      </c>
      <c r="F11" s="16">
        <f>F4-F5-F6-F7-F8-F9-F10</f>
        <v>11744341.777777759</v>
      </c>
      <c r="G11" s="16">
        <f>G4-G5-G6-G7-G8-G9-G10</f>
        <v>11378994.444444437</v>
      </c>
      <c r="H11" s="69">
        <f>H4-H5-H6-H7-H8-H9-H10</f>
        <v>13477801.944444424</v>
      </c>
      <c r="I11" s="74"/>
      <c r="J11" s="74"/>
      <c r="K11" s="74"/>
    </row>
    <row r="12" spans="1:11" ht="12.15" customHeight="1" x14ac:dyDescent="0.3">
      <c r="A12" s="46">
        <v>9</v>
      </c>
      <c r="B12" s="6" t="s">
        <v>10</v>
      </c>
      <c r="C12" s="17">
        <v>0</v>
      </c>
      <c r="D12" s="17">
        <v>2559722.222222222</v>
      </c>
      <c r="E12" s="17">
        <v>2559722.222222222</v>
      </c>
      <c r="F12" s="17">
        <v>2559722.222222222</v>
      </c>
      <c r="G12" s="17">
        <v>2613055.5555555555</v>
      </c>
      <c r="H12" s="70">
        <v>2613055.5555555555</v>
      </c>
      <c r="I12" s="74"/>
      <c r="J12" s="74"/>
      <c r="K12" s="74"/>
    </row>
    <row r="13" spans="1:11" ht="12.15" customHeight="1" x14ac:dyDescent="0.3">
      <c r="A13" s="46">
        <v>10</v>
      </c>
      <c r="B13" s="6" t="s">
        <v>12</v>
      </c>
      <c r="C13" s="16">
        <v>0</v>
      </c>
      <c r="D13" s="16">
        <f t="shared" ref="D13:H13" si="0">D11+D12</f>
        <v>8960000.0000000056</v>
      </c>
      <c r="E13" s="16">
        <f t="shared" si="0"/>
        <v>10748800.000000006</v>
      </c>
      <c r="F13" s="16">
        <f t="shared" si="0"/>
        <v>14304063.999999981</v>
      </c>
      <c r="G13" s="16">
        <f t="shared" si="0"/>
        <v>13992049.999999993</v>
      </c>
      <c r="H13" s="69">
        <f t="shared" si="0"/>
        <v>16090857.49999998</v>
      </c>
      <c r="I13" s="74"/>
      <c r="J13" s="74"/>
      <c r="K13" s="74"/>
    </row>
    <row r="14" spans="1:11" ht="12.15" customHeight="1" x14ac:dyDescent="0.3">
      <c r="A14" s="46">
        <v>11</v>
      </c>
      <c r="B14" s="6" t="s">
        <v>20</v>
      </c>
      <c r="C14" s="16">
        <v>0</v>
      </c>
      <c r="D14" s="16">
        <v>-1115022</v>
      </c>
      <c r="E14" s="16">
        <v>-201905</v>
      </c>
      <c r="F14" s="16">
        <v>-237744</v>
      </c>
      <c r="G14" s="16">
        <v>-233200</v>
      </c>
      <c r="H14" s="69">
        <f>-(E14+F14+G14)</f>
        <v>672849</v>
      </c>
      <c r="I14" s="74"/>
      <c r="J14" s="74"/>
      <c r="K14" s="74"/>
    </row>
    <row r="15" spans="1:11" ht="12.15" customHeight="1" x14ac:dyDescent="0.3">
      <c r="A15" s="44">
        <v>12</v>
      </c>
      <c r="B15" s="6" t="s">
        <v>6</v>
      </c>
      <c r="C15" s="16">
        <v>10000000</v>
      </c>
      <c r="D15" s="16"/>
      <c r="E15" s="16"/>
      <c r="F15" s="16"/>
      <c r="G15" s="16"/>
      <c r="H15" s="69"/>
      <c r="I15" s="74"/>
      <c r="J15" s="74"/>
      <c r="K15" s="74"/>
    </row>
    <row r="16" spans="1:11" ht="12.15" customHeight="1" x14ac:dyDescent="0.3">
      <c r="A16" s="44">
        <v>13</v>
      </c>
      <c r="B16" s="6" t="s">
        <v>1</v>
      </c>
      <c r="C16" s="16"/>
      <c r="D16" s="16"/>
      <c r="E16" s="16"/>
      <c r="F16" s="16"/>
      <c r="G16" s="16"/>
      <c r="H16" s="69">
        <v>50913055.555555567</v>
      </c>
      <c r="I16" s="74"/>
      <c r="J16" s="74"/>
      <c r="K16" s="74"/>
    </row>
    <row r="17" spans="1:11" ht="12.15" customHeight="1" x14ac:dyDescent="0.3">
      <c r="A17" s="47">
        <v>14</v>
      </c>
      <c r="B17" s="6" t="s">
        <v>2</v>
      </c>
      <c r="C17" s="16"/>
      <c r="D17" s="16"/>
      <c r="E17" s="16"/>
      <c r="F17" s="16"/>
      <c r="G17" s="16"/>
      <c r="H17" s="69">
        <v>1115022</v>
      </c>
      <c r="I17" s="74"/>
      <c r="J17" s="74"/>
      <c r="K17" s="74"/>
    </row>
    <row r="18" spans="1:11" ht="12.15" customHeight="1" x14ac:dyDescent="0.3">
      <c r="A18" s="47"/>
      <c r="B18" s="21" t="s">
        <v>11</v>
      </c>
      <c r="C18" s="16">
        <v>0</v>
      </c>
      <c r="D18" s="16">
        <v>-2500000</v>
      </c>
      <c r="E18" s="16">
        <v>-2500000</v>
      </c>
      <c r="F18" s="16">
        <v>-2500000</v>
      </c>
      <c r="G18" s="16">
        <v>-2500000</v>
      </c>
      <c r="H18" s="69">
        <v>0</v>
      </c>
      <c r="I18" s="74"/>
      <c r="J18" s="74"/>
      <c r="K18" s="74"/>
    </row>
    <row r="19" spans="1:11" ht="12.15" customHeight="1" x14ac:dyDescent="0.3">
      <c r="A19" s="47">
        <v>15</v>
      </c>
      <c r="B19" s="53" t="s">
        <v>21</v>
      </c>
      <c r="C19" s="16">
        <v>0</v>
      </c>
      <c r="D19" s="16">
        <v>-2222222</v>
      </c>
      <c r="E19" s="16">
        <v>-2222222</v>
      </c>
      <c r="F19" s="16">
        <v>-2222227</v>
      </c>
      <c r="G19" s="65">
        <v>0</v>
      </c>
      <c r="H19" s="71">
        <v>0</v>
      </c>
      <c r="I19" s="54"/>
      <c r="J19" s="54"/>
      <c r="K19" s="75"/>
    </row>
    <row r="20" spans="1:11" ht="28.8" customHeight="1" x14ac:dyDescent="0.3">
      <c r="A20" s="11">
        <v>16</v>
      </c>
      <c r="B20" s="6" t="s">
        <v>13</v>
      </c>
      <c r="C20" s="16">
        <f t="shared" ref="C20:H20" si="1">SUM(C13:C19)</f>
        <v>10000000</v>
      </c>
      <c r="D20" s="16">
        <f t="shared" si="1"/>
        <v>3122756.0000000056</v>
      </c>
      <c r="E20" s="16">
        <f t="shared" si="1"/>
        <v>5824673.0000000056</v>
      </c>
      <c r="F20" s="16">
        <f t="shared" si="1"/>
        <v>9344092.9999999814</v>
      </c>
      <c r="G20" s="16">
        <f t="shared" si="1"/>
        <v>11258849.999999993</v>
      </c>
      <c r="H20" s="69">
        <f t="shared" si="1"/>
        <v>68791784.055555552</v>
      </c>
      <c r="I20" s="54"/>
      <c r="J20" s="54"/>
      <c r="K20" s="54"/>
    </row>
    <row r="21" spans="1:11" ht="12.15" customHeight="1" x14ac:dyDescent="0.3">
      <c r="A21" s="56">
        <v>17</v>
      </c>
      <c r="B21" s="3" t="s">
        <v>41</v>
      </c>
      <c r="C21" s="16">
        <f>POWER(1.12,0)*C20</f>
        <v>10000000</v>
      </c>
      <c r="D21" s="16">
        <f>POWER(1.12,-1)*D20</f>
        <v>2788175.0000000047</v>
      </c>
      <c r="E21" s="16">
        <f>POWER(1.12,-2)*E20</f>
        <v>4643393.6543367384</v>
      </c>
      <c r="F21" s="16">
        <f>POWER(1.12,-3)*F20</f>
        <v>6650940.8311315449</v>
      </c>
      <c r="G21" s="16">
        <f>POWER(1.12,-4)*G20</f>
        <v>7155202.7170482287</v>
      </c>
      <c r="H21" s="69">
        <f>POWER(1.12,-5)*H20</f>
        <v>39034305.725916751</v>
      </c>
      <c r="I21" s="54"/>
      <c r="J21" s="54"/>
      <c r="K21" s="54"/>
    </row>
    <row r="22" spans="1:11" ht="12.15" customHeight="1" x14ac:dyDescent="0.3">
      <c r="A22" s="30"/>
      <c r="B22" s="3" t="s">
        <v>43</v>
      </c>
      <c r="C22" s="16">
        <f>C21</f>
        <v>10000000</v>
      </c>
      <c r="D22" s="16">
        <f>C21+D21</f>
        <v>12788175.000000004</v>
      </c>
      <c r="E22" s="16">
        <f>D22+E21</f>
        <v>17431568.654336743</v>
      </c>
      <c r="F22" s="16">
        <f>E22+F21</f>
        <v>24082509.485468287</v>
      </c>
      <c r="G22" s="16">
        <f>F22+G21</f>
        <v>31237712.202516515</v>
      </c>
      <c r="H22" s="69">
        <f>G22+H21</f>
        <v>70272017.928433269</v>
      </c>
      <c r="I22" s="32"/>
      <c r="J22" s="32"/>
      <c r="K22" s="54"/>
    </row>
    <row r="23" spans="1:11" ht="12.15" customHeight="1" x14ac:dyDescent="0.3">
      <c r="A23" s="37">
        <v>19</v>
      </c>
      <c r="B23" s="1" t="s">
        <v>3</v>
      </c>
      <c r="C23" s="26">
        <f>63925000</f>
        <v>63925000</v>
      </c>
      <c r="D23" s="2"/>
      <c r="E23" s="2"/>
      <c r="F23" s="26">
        <f>POWER(1.12,-3)*1840000</f>
        <v>1309675.6559766759</v>
      </c>
      <c r="G23" s="2"/>
      <c r="H23" s="72">
        <f>POWER(1.12,-5)*2400000</f>
        <v>1361824.4537246381</v>
      </c>
      <c r="I23" s="32"/>
      <c r="J23" s="32"/>
      <c r="K23" s="32"/>
    </row>
    <row r="24" spans="1:11" ht="12.15" customHeight="1" x14ac:dyDescent="0.3">
      <c r="A24" s="37"/>
      <c r="B24" s="80" t="s">
        <v>39</v>
      </c>
      <c r="C24" s="18" t="s">
        <v>4</v>
      </c>
      <c r="D24" s="4"/>
      <c r="E24" s="51" t="s">
        <v>14</v>
      </c>
      <c r="F24" s="52"/>
      <c r="G24" s="20" t="s">
        <v>5</v>
      </c>
      <c r="H24" s="50"/>
      <c r="I24" s="59"/>
      <c r="J24" s="59"/>
      <c r="K24" s="32"/>
    </row>
    <row r="25" spans="1:11" ht="12.15" customHeight="1" x14ac:dyDescent="0.3">
      <c r="A25" s="37"/>
      <c r="B25" s="49"/>
      <c r="C25" s="76"/>
      <c r="D25" s="8"/>
      <c r="E25" s="77"/>
      <c r="F25" s="78"/>
      <c r="G25" s="49"/>
      <c r="H25" s="79"/>
      <c r="I25" s="59"/>
      <c r="J25" s="59"/>
      <c r="K25" s="32"/>
    </row>
    <row r="26" spans="1:11" ht="12.15" customHeight="1" x14ac:dyDescent="0.3">
      <c r="A26" s="37"/>
      <c r="B26" s="31"/>
      <c r="C26" s="32" t="s">
        <v>18</v>
      </c>
      <c r="D26" s="32" t="s">
        <v>15</v>
      </c>
      <c r="F26" s="32"/>
      <c r="G26" s="32"/>
      <c r="H26" s="32"/>
      <c r="I26" s="36"/>
      <c r="J26" s="36"/>
      <c r="K26" s="32"/>
    </row>
    <row r="27" spans="1:11" ht="12.15" customHeight="1" x14ac:dyDescent="0.3">
      <c r="A27" s="37"/>
      <c r="B27" s="39" t="s">
        <v>16</v>
      </c>
      <c r="C27" s="19"/>
      <c r="D27" s="3">
        <v>2025</v>
      </c>
      <c r="E27" s="3">
        <v>2026</v>
      </c>
      <c r="F27" s="3">
        <v>2027</v>
      </c>
      <c r="G27" s="3">
        <v>2028</v>
      </c>
      <c r="H27" s="3">
        <v>2029</v>
      </c>
      <c r="I27" s="35"/>
      <c r="J27" s="35"/>
      <c r="K27" s="32"/>
    </row>
    <row r="28" spans="1:11" ht="12.15" customHeight="1" x14ac:dyDescent="0.3">
      <c r="A28" s="23"/>
      <c r="B28" s="41" t="s">
        <v>33</v>
      </c>
      <c r="C28" s="42"/>
      <c r="D28" s="36">
        <f>(762500000*POWER(1.12,1))/3*2</f>
        <v>569333333.33333337</v>
      </c>
      <c r="E28" s="36">
        <f>(762500000*POWER(1.12,2))/3*2</f>
        <v>637653333.33333337</v>
      </c>
      <c r="F28" s="36">
        <f>(762500000*POWER(1.14,3))/3*2</f>
        <v>753118199.99999988</v>
      </c>
      <c r="G28" s="36">
        <f>(762500000*POWER(1.15,4))/3*2</f>
        <v>889078177.08333302</v>
      </c>
      <c r="H28" s="36">
        <f>(762500000*POWER(1.15,5))/3*2</f>
        <v>1022439903.645833</v>
      </c>
      <c r="I28" s="35"/>
      <c r="J28" s="35"/>
      <c r="K28" s="32"/>
    </row>
    <row r="29" spans="1:11" ht="12.15" customHeight="1" x14ac:dyDescent="0.3">
      <c r="A29" s="30"/>
      <c r="B29" s="43" t="s">
        <v>34</v>
      </c>
      <c r="C29" s="42"/>
      <c r="D29" s="34">
        <f>(0.33*2300000000*POWER(1.12,1))/3*2</f>
        <v>566720000.00000012</v>
      </c>
      <c r="E29" s="34">
        <f>(0.33*2300000000*POWER(1.12,2))/3*2</f>
        <v>634726400.00000012</v>
      </c>
      <c r="F29" s="34">
        <f>(0.33*2300000000*POWER(1.14,3))/3*2</f>
        <v>749661263.99999988</v>
      </c>
      <c r="G29" s="34">
        <f>(0.33*2300000000*POWER(1.15,4))/3*2</f>
        <v>884997162.49999964</v>
      </c>
      <c r="H29" s="34">
        <f>(0.33*2300000000*POWER(1.15,5))/3*2</f>
        <v>1017746736.8749996</v>
      </c>
      <c r="I29" s="59"/>
      <c r="J29" s="59"/>
      <c r="K29" s="32"/>
    </row>
    <row r="30" spans="1:11" ht="12.15" customHeight="1" x14ac:dyDescent="0.3">
      <c r="A30" s="30"/>
      <c r="B30" s="57"/>
      <c r="C30" s="58"/>
      <c r="D30" s="59"/>
      <c r="E30" s="59"/>
      <c r="F30" s="59"/>
      <c r="G30" s="59"/>
      <c r="H30" s="59"/>
      <c r="I30" s="59"/>
      <c r="J30" s="59"/>
      <c r="K30" s="32"/>
    </row>
    <row r="31" spans="1:11" ht="12.15" customHeight="1" x14ac:dyDescent="0.3">
      <c r="A31" s="13" t="s">
        <v>47</v>
      </c>
      <c r="B31" s="12"/>
      <c r="C31" s="12"/>
      <c r="D31" s="12"/>
      <c r="E31" s="12"/>
      <c r="F31" s="12"/>
      <c r="G31" s="12"/>
      <c r="H31" s="12"/>
      <c r="I31" s="12"/>
      <c r="J31" s="12"/>
      <c r="K31" s="61"/>
    </row>
    <row r="32" spans="1:11" ht="12.15" customHeight="1" x14ac:dyDescent="0.3">
      <c r="A32" s="81" t="s">
        <v>48</v>
      </c>
      <c r="B32" s="12"/>
      <c r="C32" s="12"/>
      <c r="D32" s="12"/>
      <c r="E32" s="12"/>
      <c r="F32" s="12"/>
      <c r="G32" s="12"/>
      <c r="H32" s="12"/>
      <c r="I32" s="12"/>
      <c r="J32" s="12"/>
      <c r="K32" s="61"/>
    </row>
    <row r="33" spans="1:13" ht="12.15" customHeight="1" x14ac:dyDescent="0.3">
      <c r="A33" s="55" t="s">
        <v>36</v>
      </c>
      <c r="B33" s="12"/>
      <c r="C33" s="62"/>
      <c r="D33" s="12"/>
      <c r="E33" s="12"/>
      <c r="F33" s="12"/>
      <c r="G33" s="12"/>
      <c r="H33" s="12"/>
      <c r="I33" s="12"/>
      <c r="J33" s="12"/>
      <c r="K33" s="12"/>
    </row>
    <row r="34" spans="1:13" ht="12.15" customHeight="1" x14ac:dyDescent="0.3">
      <c r="A34" s="12" t="s">
        <v>45</v>
      </c>
      <c r="B34" s="12"/>
      <c r="C34" s="13"/>
      <c r="D34" s="62"/>
      <c r="E34" s="12"/>
      <c r="F34" s="12"/>
      <c r="G34" s="12"/>
      <c r="H34" s="12"/>
      <c r="I34" s="12"/>
      <c r="J34" s="12"/>
      <c r="K34" s="12"/>
    </row>
    <row r="35" spans="1:13" ht="12.15" customHeight="1" x14ac:dyDescent="0.3">
      <c r="A35" s="12" t="s">
        <v>46</v>
      </c>
      <c r="B35" s="12"/>
      <c r="C35" s="61"/>
      <c r="D35" s="63"/>
      <c r="E35" s="12"/>
      <c r="F35" s="12"/>
      <c r="G35" s="12"/>
      <c r="H35" s="12"/>
      <c r="I35" s="12"/>
      <c r="J35" s="12"/>
      <c r="K35" s="12"/>
    </row>
    <row r="36" spans="1:13" ht="12.15" customHeight="1" x14ac:dyDescent="0.3">
      <c r="A36" s="55" t="s">
        <v>40</v>
      </c>
      <c r="B36" s="12"/>
      <c r="C36" s="61"/>
      <c r="D36" s="63"/>
      <c r="E36" s="12"/>
      <c r="F36" s="12"/>
      <c r="G36" s="12"/>
      <c r="H36" s="55"/>
      <c r="I36" s="12"/>
      <c r="J36" s="12"/>
      <c r="K36" s="12"/>
    </row>
    <row r="37" spans="1:13" ht="12.15" customHeight="1" x14ac:dyDescent="0.3">
      <c r="A37" s="12" t="s">
        <v>37</v>
      </c>
      <c r="B37" s="14"/>
      <c r="C37" s="14"/>
      <c r="D37" s="14"/>
      <c r="E37" s="60"/>
      <c r="F37" s="14"/>
      <c r="G37" s="14"/>
      <c r="H37" s="14"/>
      <c r="I37" s="60"/>
      <c r="J37" s="14"/>
      <c r="K37" s="14"/>
    </row>
    <row r="38" spans="1:13" ht="12.15" customHeight="1" x14ac:dyDescent="0.3">
      <c r="A38" s="14" t="s">
        <v>42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3" ht="12.15" customHeight="1" x14ac:dyDescent="0.3">
      <c r="A39" s="14" t="s">
        <v>38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2"/>
      <c r="M39" s="12"/>
    </row>
    <row r="40" spans="1:13" ht="12.15" customHeight="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64"/>
      <c r="K40" s="14"/>
      <c r="L40" s="12"/>
      <c r="M40" s="12"/>
    </row>
    <row r="41" spans="1:13" ht="12.15" customHeight="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3" ht="12.15" customHeight="1" x14ac:dyDescent="0.3">
      <c r="A42" s="14"/>
      <c r="B42" s="14"/>
      <c r="C42" s="14"/>
      <c r="D42" s="14"/>
      <c r="E42" s="14"/>
      <c r="F42" s="14"/>
      <c r="H42" s="14"/>
      <c r="I42" s="14"/>
    </row>
    <row r="43" spans="1:13" ht="12.15" customHeight="1" x14ac:dyDescent="0.3"/>
    <row r="44" spans="1:13" ht="12.15" customHeight="1" x14ac:dyDescent="0.3"/>
    <row r="45" spans="1:13" ht="12.15" customHeight="1" x14ac:dyDescent="0.3"/>
    <row r="46" spans="1:13" ht="12.15" customHeight="1" x14ac:dyDescent="0.3"/>
    <row r="47" spans="1:13" ht="12.15" customHeight="1" x14ac:dyDescent="0.3"/>
  </sheetData>
  <pageMargins left="0.7" right="0.7" top="0.75" bottom="0.75" header="0.3" footer="0.3"/>
  <pageSetup paperSize="9" orientation="landscape" horizontalDpi="4294967295" verticalDpi="4294967295" r:id="rId1"/>
  <headerFooter>
    <oddHeader>&amp;CUAC/ENEAM/2023-2024/Licence 2 – Informatique de Gestion (IG 2) / Rattrapage juin 2024/
 Durée: 1h/ N.B. : Tout Document et Matériel TIC  interdits  –  Calculatrice ordinaire autorisée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D11" sqref="D11"/>
    </sheetView>
  </sheetViews>
  <sheetFormatPr baseColWidth="10" defaultRowHeight="14.4" x14ac:dyDescent="0.3"/>
  <sheetData>
    <row r="1" spans="1:10" x14ac:dyDescent="0.3">
      <c r="A1" s="30"/>
      <c r="B1" s="31"/>
      <c r="D1" s="32" t="s">
        <v>18</v>
      </c>
      <c r="E1" s="32" t="s">
        <v>15</v>
      </c>
      <c r="F1" s="32"/>
      <c r="G1" s="32"/>
      <c r="H1" s="32"/>
      <c r="I1" s="32"/>
      <c r="J1" s="32"/>
    </row>
    <row r="2" spans="1:10" x14ac:dyDescent="0.3">
      <c r="A2" s="37" t="s">
        <v>7</v>
      </c>
      <c r="B2" s="38"/>
      <c r="C2" s="39" t="s">
        <v>16</v>
      </c>
      <c r="D2" s="19"/>
      <c r="E2" s="19">
        <v>2021</v>
      </c>
      <c r="F2" s="5">
        <v>2022</v>
      </c>
      <c r="G2" s="5">
        <v>2023</v>
      </c>
      <c r="H2" s="5">
        <v>2024</v>
      </c>
      <c r="I2" s="5">
        <v>2025</v>
      </c>
      <c r="J2" s="5">
        <v>2026</v>
      </c>
    </row>
    <row r="3" spans="1:10" x14ac:dyDescent="0.3">
      <c r="A3" s="37"/>
      <c r="B3" s="40"/>
      <c r="C3" s="41" t="s">
        <v>17</v>
      </c>
      <c r="D3" s="42"/>
      <c r="E3" s="33">
        <f>228750000/3</f>
        <v>76250000</v>
      </c>
      <c r="F3" s="36">
        <f>762500000*POWER(1.12,1)</f>
        <v>854000000.00000012</v>
      </c>
      <c r="G3" s="36">
        <f>762500000*POWER(1.12,2)</f>
        <v>956480000.00000012</v>
      </c>
      <c r="H3" s="36">
        <f>762500000*POWER(1.14,3)</f>
        <v>1129677299.9999998</v>
      </c>
      <c r="I3" s="36">
        <f>762500000*POWER(1.15,4)</f>
        <v>1333617265.6249995</v>
      </c>
      <c r="J3" s="36">
        <f>762500000*POWER(1.15,5)</f>
        <v>1533659855.4687495</v>
      </c>
    </row>
    <row r="4" spans="1:10" x14ac:dyDescent="0.3">
      <c r="G4">
        <f>(G3-F3)/F3</f>
        <v>0.11999999999999998</v>
      </c>
      <c r="H4">
        <f t="shared" ref="H4:J4" si="0">(H3-G3)/G3</f>
        <v>0.18107780612244859</v>
      </c>
      <c r="I4">
        <f t="shared" si="0"/>
        <v>0.18052940040930254</v>
      </c>
      <c r="J4">
        <f t="shared" si="0"/>
        <v>0.15000000000000005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FNT et critères financiers</vt:lpstr>
      <vt:lpstr>Exam Rattrap IG2 A &amp; B 23-24</vt:lpstr>
      <vt:lpstr>fev Croisce Epargne colctée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HOUNYO LEON</cp:lastModifiedBy>
  <cp:lastPrinted>2024-06-21T22:45:03Z</cp:lastPrinted>
  <dcterms:created xsi:type="dcterms:W3CDTF">2020-05-21T15:54:36Z</dcterms:created>
  <dcterms:modified xsi:type="dcterms:W3CDTF">2025-10-15T06:56:58Z</dcterms:modified>
</cp:coreProperties>
</file>